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eddy\Documents\DistriNetProjects\Decomads\heterogenous-scaling-in-k8s\spark\experiments\"/>
    </mc:Choice>
  </mc:AlternateContent>
  <bookViews>
    <workbookView xWindow="0" yWindow="0" windowWidth="23040" windowHeight="9384"/>
  </bookViews>
  <sheets>
    <sheet name="part-00000-cc08c17a-3f48-45bf-a" sheetId="1" r:id="rId1"/>
  </sheets>
  <calcPr calcId="152511"/>
</workbook>
</file>

<file path=xl/calcChain.xml><?xml version="1.0" encoding="utf-8"?>
<calcChain xmlns="http://schemas.openxmlformats.org/spreadsheetml/2006/main">
  <c r="K59" i="1" l="1"/>
  <c r="K60" i="1" s="1"/>
  <c r="H59" i="1"/>
  <c r="H60" i="1" s="1"/>
  <c r="C59" i="1"/>
  <c r="C60" i="1" s="1"/>
  <c r="K46" i="1"/>
  <c r="K47" i="1" s="1"/>
  <c r="H46" i="1"/>
  <c r="H47" i="1" s="1"/>
  <c r="C46" i="1"/>
  <c r="C47" i="1" s="1"/>
  <c r="K25" i="1"/>
  <c r="K26" i="1" s="1"/>
  <c r="H25" i="1"/>
  <c r="H26" i="1" s="1"/>
  <c r="C25" i="1"/>
  <c r="C26" i="1" s="1"/>
  <c r="K12" i="1"/>
  <c r="K13" i="1" s="1"/>
  <c r="H12" i="1"/>
  <c r="H13" i="1" s="1"/>
  <c r="C12" i="1"/>
  <c r="C13" i="1" s="1"/>
</calcChain>
</file>

<file path=xl/sharedStrings.xml><?xml version="1.0" encoding="utf-8"?>
<sst xmlns="http://schemas.openxmlformats.org/spreadsheetml/2006/main" count="634" uniqueCount="47">
  <si>
    <t>name</t>
  </si>
  <si>
    <t>timestamp</t>
  </si>
  <si>
    <t>total_Runtime</t>
  </si>
  <si>
    <t>run</t>
  </si>
  <si>
    <t>cache</t>
  </si>
  <si>
    <t>saveTime</t>
  </si>
  <si>
    <t>queryStr</t>
  </si>
  <si>
    <t>loadTime</t>
  </si>
  <si>
    <t>saveMode</t>
  </si>
  <si>
    <t>output</t>
  </si>
  <si>
    <t>queryTime</t>
  </si>
  <si>
    <t>input</t>
  </si>
  <si>
    <t>numPartitions</t>
  </si>
  <si>
    <t>spark.driver.host</t>
  </si>
  <si>
    <t>spark.driver.port</t>
  </si>
  <si>
    <t>spark.jars</t>
  </si>
  <si>
    <t>spark.driver.supervise</t>
  </si>
  <si>
    <t>spark.app.name</t>
  </si>
  <si>
    <t>spark.rpc.askTimeout</t>
  </si>
  <si>
    <t>spark.driver.memory</t>
  </si>
  <si>
    <t>spark.executor.id</t>
  </si>
  <si>
    <t>spark.submit.deployMode</t>
  </si>
  <si>
    <t>spark.master</t>
  </si>
  <si>
    <t>spark.executor.memory</t>
  </si>
  <si>
    <t>spark.app.id</t>
  </si>
  <si>
    <t>description</t>
  </si>
  <si>
    <t>sql</t>
  </si>
  <si>
    <t>select * from input</t>
  </si>
  <si>
    <t>overwrite</t>
  </si>
  <si>
    <t>file:///opt/bitnami/spark/spark_data/spark-bench-test/kmeans-data1.csv</t>
  </si>
  <si>
    <t>my-release-spark-worker-1.my-release-spark-headless.default.svc.cluster.local</t>
  </si>
  <si>
    <t>file:/opt/bitnami/spark/spark_data/spark-bench/lib/spark-bench-2.3.0_0.4.0-RELEASE.jar</t>
  </si>
  <si>
    <t>com.ibm.sparktc.sparkbench.cli.CLIKickoff</t>
  </si>
  <si>
    <t>10s</t>
  </si>
  <si>
    <t>17G</t>
  </si>
  <si>
    <t>driver</t>
  </si>
  <si>
    <t>cluster</t>
  </si>
  <si>
    <t>spark://172.17.13.105:31934</t>
  </si>
  <si>
    <t>14G</t>
  </si>
  <si>
    <t>app-20210108114408-0034</t>
  </si>
  <si>
    <t>Run two different SQL queries over the dataset in two different formats</t>
  </si>
  <si>
    <t>file:///opt/bitnami/spark/spark_data/spark-bench-test/kmeans-data-g2-1.parquet</t>
  </si>
  <si>
    <t>select c0, c6 from input where c0 &lt; -0.9</t>
  </si>
  <si>
    <t>select * from csv</t>
  </si>
  <si>
    <t>select c from csv</t>
  </si>
  <si>
    <t>select * from parquet</t>
  </si>
  <si>
    <t>select c from parquet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</si>
</sst>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60"/>
  <sheetViews>
    <sheetView tabSelected="1" topLeftCell="A40" workbookViewId="0">
      <selection activeCell="A60" sqref="A60"/>
    </sheetView>
  </sheetViews>
  <sheetFormatPr defaultRowHeight="14.4" x14ac:dyDescent="0.3"/>
  <cols>
    <col min="3" max="3" width="12" bestFit="1" customWidth="1"/>
  </cols>
  <sheetData>
    <row r="1" spans="1:2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</row>
    <row r="2" spans="1:26" x14ac:dyDescent="0.3">
      <c r="A2" t="s">
        <v>26</v>
      </c>
      <c r="B2">
        <v>1610106323060</v>
      </c>
      <c r="C2">
        <v>53178305014</v>
      </c>
      <c r="D2">
        <v>0</v>
      </c>
      <c r="E2" t="b">
        <v>0</v>
      </c>
      <c r="F2">
        <v>0</v>
      </c>
      <c r="G2" t="s">
        <v>27</v>
      </c>
      <c r="H2">
        <v>53002621165</v>
      </c>
      <c r="I2" t="s">
        <v>28</v>
      </c>
      <c r="K2">
        <v>175683849</v>
      </c>
      <c r="L2" t="s">
        <v>29</v>
      </c>
      <c r="N2" t="s">
        <v>30</v>
      </c>
      <c r="O2">
        <v>45643</v>
      </c>
      <c r="P2" t="s">
        <v>31</v>
      </c>
      <c r="Q2" t="b">
        <v>0</v>
      </c>
      <c r="R2" t="s">
        <v>32</v>
      </c>
      <c r="S2" t="s">
        <v>33</v>
      </c>
      <c r="T2" t="s">
        <v>34</v>
      </c>
      <c r="U2" t="s">
        <v>35</v>
      </c>
      <c r="V2" t="s">
        <v>36</v>
      </c>
      <c r="W2" t="s">
        <v>37</v>
      </c>
      <c r="X2" t="s">
        <v>38</v>
      </c>
      <c r="Y2" t="s">
        <v>39</v>
      </c>
      <c r="Z2" t="s">
        <v>40</v>
      </c>
    </row>
    <row r="3" spans="1:26" x14ac:dyDescent="0.3">
      <c r="A3" t="s">
        <v>26</v>
      </c>
      <c r="B3">
        <v>1610106540904</v>
      </c>
      <c r="C3">
        <v>50643959758</v>
      </c>
      <c r="D3">
        <v>1</v>
      </c>
      <c r="E3" t="b">
        <v>0</v>
      </c>
      <c r="F3">
        <v>0</v>
      </c>
      <c r="G3" t="s">
        <v>27</v>
      </c>
      <c r="H3">
        <v>50474408469</v>
      </c>
      <c r="I3" t="s">
        <v>28</v>
      </c>
      <c r="K3">
        <v>169551289</v>
      </c>
      <c r="L3" t="s">
        <v>29</v>
      </c>
      <c r="N3" t="s">
        <v>30</v>
      </c>
      <c r="O3">
        <v>45643</v>
      </c>
      <c r="P3" t="s">
        <v>31</v>
      </c>
      <c r="Q3" t="b">
        <v>0</v>
      </c>
      <c r="R3" t="s">
        <v>32</v>
      </c>
      <c r="S3" t="s">
        <v>33</v>
      </c>
      <c r="T3" t="s">
        <v>34</v>
      </c>
      <c r="U3" t="s">
        <v>35</v>
      </c>
      <c r="V3" t="s">
        <v>36</v>
      </c>
      <c r="W3" t="s">
        <v>37</v>
      </c>
      <c r="X3" t="s">
        <v>38</v>
      </c>
      <c r="Y3" t="s">
        <v>39</v>
      </c>
      <c r="Z3" t="s">
        <v>40</v>
      </c>
    </row>
    <row r="4" spans="1:26" x14ac:dyDescent="0.3">
      <c r="A4" t="s">
        <v>26</v>
      </c>
      <c r="B4">
        <v>1610106746943</v>
      </c>
      <c r="C4">
        <v>51144034139</v>
      </c>
      <c r="D4">
        <v>2</v>
      </c>
      <c r="E4" t="b">
        <v>0</v>
      </c>
      <c r="F4">
        <v>0</v>
      </c>
      <c r="G4" t="s">
        <v>27</v>
      </c>
      <c r="H4">
        <v>51016253871</v>
      </c>
      <c r="I4" t="s">
        <v>28</v>
      </c>
      <c r="K4">
        <v>127780268</v>
      </c>
      <c r="L4" t="s">
        <v>29</v>
      </c>
      <c r="N4" t="s">
        <v>30</v>
      </c>
      <c r="O4">
        <v>45643</v>
      </c>
      <c r="P4" t="s">
        <v>31</v>
      </c>
      <c r="Q4" t="b">
        <v>0</v>
      </c>
      <c r="R4" t="s">
        <v>32</v>
      </c>
      <c r="S4" t="s">
        <v>33</v>
      </c>
      <c r="T4" t="s">
        <v>34</v>
      </c>
      <c r="U4" t="s">
        <v>35</v>
      </c>
      <c r="V4" t="s">
        <v>36</v>
      </c>
      <c r="W4" t="s">
        <v>37</v>
      </c>
      <c r="X4" t="s">
        <v>38</v>
      </c>
      <c r="Y4" t="s">
        <v>39</v>
      </c>
      <c r="Z4" t="s">
        <v>40</v>
      </c>
    </row>
    <row r="5" spans="1:26" x14ac:dyDescent="0.3">
      <c r="A5" t="s">
        <v>26</v>
      </c>
      <c r="B5">
        <v>1610106952332</v>
      </c>
      <c r="C5">
        <v>51464717184</v>
      </c>
      <c r="D5">
        <v>3</v>
      </c>
      <c r="E5" t="b">
        <v>0</v>
      </c>
      <c r="F5">
        <v>0</v>
      </c>
      <c r="G5" t="s">
        <v>27</v>
      </c>
      <c r="H5">
        <v>51337360347</v>
      </c>
      <c r="I5" t="s">
        <v>28</v>
      </c>
      <c r="K5">
        <v>127356837</v>
      </c>
      <c r="L5" t="s">
        <v>29</v>
      </c>
      <c r="N5" t="s">
        <v>30</v>
      </c>
      <c r="O5">
        <v>45643</v>
      </c>
      <c r="P5" t="s">
        <v>31</v>
      </c>
      <c r="Q5" t="b">
        <v>0</v>
      </c>
      <c r="R5" t="s">
        <v>32</v>
      </c>
      <c r="S5" t="s">
        <v>33</v>
      </c>
      <c r="T5" t="s">
        <v>34</v>
      </c>
      <c r="U5" t="s">
        <v>35</v>
      </c>
      <c r="V5" t="s">
        <v>36</v>
      </c>
      <c r="W5" t="s">
        <v>37</v>
      </c>
      <c r="X5" t="s">
        <v>38</v>
      </c>
      <c r="Y5" t="s">
        <v>39</v>
      </c>
      <c r="Z5" t="s">
        <v>40</v>
      </c>
    </row>
    <row r="6" spans="1:26" x14ac:dyDescent="0.3">
      <c r="A6" t="s">
        <v>26</v>
      </c>
      <c r="B6">
        <v>1610107157040</v>
      </c>
      <c r="C6">
        <v>50954606410</v>
      </c>
      <c r="D6">
        <v>4</v>
      </c>
      <c r="E6" t="b">
        <v>0</v>
      </c>
      <c r="F6">
        <v>0</v>
      </c>
      <c r="G6" t="s">
        <v>27</v>
      </c>
      <c r="H6">
        <v>50830292154</v>
      </c>
      <c r="I6" t="s">
        <v>28</v>
      </c>
      <c r="K6">
        <v>124314256</v>
      </c>
      <c r="L6" t="s">
        <v>29</v>
      </c>
      <c r="N6" t="s">
        <v>30</v>
      </c>
      <c r="O6">
        <v>45643</v>
      </c>
      <c r="P6" t="s">
        <v>31</v>
      </c>
      <c r="Q6" t="b">
        <v>0</v>
      </c>
      <c r="R6" t="s">
        <v>32</v>
      </c>
      <c r="S6" t="s">
        <v>33</v>
      </c>
      <c r="T6" t="s">
        <v>34</v>
      </c>
      <c r="U6" t="s">
        <v>35</v>
      </c>
      <c r="V6" t="s">
        <v>36</v>
      </c>
      <c r="W6" t="s">
        <v>37</v>
      </c>
      <c r="X6" t="s">
        <v>38</v>
      </c>
      <c r="Y6" t="s">
        <v>39</v>
      </c>
      <c r="Z6" t="s">
        <v>40</v>
      </c>
    </row>
    <row r="7" spans="1:26" x14ac:dyDescent="0.3">
      <c r="A7" t="s">
        <v>26</v>
      </c>
      <c r="B7">
        <v>1610107360176</v>
      </c>
      <c r="C7">
        <v>51778797582</v>
      </c>
      <c r="D7">
        <v>5</v>
      </c>
      <c r="E7" t="b">
        <v>0</v>
      </c>
      <c r="F7">
        <v>0</v>
      </c>
      <c r="G7" t="s">
        <v>27</v>
      </c>
      <c r="H7">
        <v>51357522125</v>
      </c>
      <c r="I7" t="s">
        <v>28</v>
      </c>
      <c r="K7">
        <v>421275457</v>
      </c>
      <c r="L7" t="s">
        <v>29</v>
      </c>
      <c r="N7" t="s">
        <v>30</v>
      </c>
      <c r="O7">
        <v>45643</v>
      </c>
      <c r="P7" t="s">
        <v>31</v>
      </c>
      <c r="Q7" t="b">
        <v>0</v>
      </c>
      <c r="R7" t="s">
        <v>32</v>
      </c>
      <c r="S7" t="s">
        <v>33</v>
      </c>
      <c r="T7" t="s">
        <v>34</v>
      </c>
      <c r="U7" t="s">
        <v>35</v>
      </c>
      <c r="V7" t="s">
        <v>36</v>
      </c>
      <c r="W7" t="s">
        <v>37</v>
      </c>
      <c r="X7" t="s">
        <v>38</v>
      </c>
      <c r="Y7" t="s">
        <v>39</v>
      </c>
      <c r="Z7" t="s">
        <v>40</v>
      </c>
    </row>
    <row r="8" spans="1:26" x14ac:dyDescent="0.3">
      <c r="A8" t="s">
        <v>26</v>
      </c>
      <c r="B8">
        <v>1610107563061</v>
      </c>
      <c r="C8">
        <v>50864708643</v>
      </c>
      <c r="D8">
        <v>6</v>
      </c>
      <c r="E8" t="b">
        <v>0</v>
      </c>
      <c r="F8">
        <v>0</v>
      </c>
      <c r="G8" t="s">
        <v>27</v>
      </c>
      <c r="H8">
        <v>50732711655</v>
      </c>
      <c r="I8" t="s">
        <v>28</v>
      </c>
      <c r="K8">
        <v>131996988</v>
      </c>
      <c r="L8" t="s">
        <v>29</v>
      </c>
      <c r="N8" t="s">
        <v>30</v>
      </c>
      <c r="O8">
        <v>45643</v>
      </c>
      <c r="P8" t="s">
        <v>31</v>
      </c>
      <c r="Q8" t="b">
        <v>0</v>
      </c>
      <c r="R8" t="s">
        <v>32</v>
      </c>
      <c r="S8" t="s">
        <v>33</v>
      </c>
      <c r="T8" t="s">
        <v>34</v>
      </c>
      <c r="U8" t="s">
        <v>35</v>
      </c>
      <c r="V8" t="s">
        <v>36</v>
      </c>
      <c r="W8" t="s">
        <v>37</v>
      </c>
      <c r="X8" t="s">
        <v>38</v>
      </c>
      <c r="Y8" t="s">
        <v>39</v>
      </c>
      <c r="Z8" t="s">
        <v>40</v>
      </c>
    </row>
    <row r="9" spans="1:26" x14ac:dyDescent="0.3">
      <c r="A9" t="s">
        <v>26</v>
      </c>
      <c r="B9">
        <v>1610107768076</v>
      </c>
      <c r="C9">
        <v>52629285018</v>
      </c>
      <c r="D9">
        <v>7</v>
      </c>
      <c r="E9" t="b">
        <v>0</v>
      </c>
      <c r="F9">
        <v>0</v>
      </c>
      <c r="G9" t="s">
        <v>27</v>
      </c>
      <c r="H9">
        <v>52505794978</v>
      </c>
      <c r="I9" t="s">
        <v>28</v>
      </c>
      <c r="K9">
        <v>123490040</v>
      </c>
      <c r="L9" t="s">
        <v>29</v>
      </c>
      <c r="N9" t="s">
        <v>30</v>
      </c>
      <c r="O9">
        <v>45643</v>
      </c>
      <c r="P9" t="s">
        <v>31</v>
      </c>
      <c r="Q9" t="b">
        <v>0</v>
      </c>
      <c r="R9" t="s">
        <v>32</v>
      </c>
      <c r="S9" t="s">
        <v>33</v>
      </c>
      <c r="T9" t="s">
        <v>34</v>
      </c>
      <c r="U9" t="s">
        <v>35</v>
      </c>
      <c r="V9" t="s">
        <v>36</v>
      </c>
      <c r="W9" t="s">
        <v>37</v>
      </c>
      <c r="X9" t="s">
        <v>38</v>
      </c>
      <c r="Y9" t="s">
        <v>39</v>
      </c>
      <c r="Z9" t="s">
        <v>40</v>
      </c>
    </row>
    <row r="10" spans="1:26" x14ac:dyDescent="0.3">
      <c r="A10" t="s">
        <v>26</v>
      </c>
      <c r="B10">
        <v>1610107975623</v>
      </c>
      <c r="C10">
        <v>50197196348</v>
      </c>
      <c r="D10">
        <v>8</v>
      </c>
      <c r="E10" t="b">
        <v>0</v>
      </c>
      <c r="F10">
        <v>0</v>
      </c>
      <c r="G10" t="s">
        <v>27</v>
      </c>
      <c r="H10">
        <v>50069391992</v>
      </c>
      <c r="I10" t="s">
        <v>28</v>
      </c>
      <c r="K10">
        <v>127804356</v>
      </c>
      <c r="L10" t="s">
        <v>29</v>
      </c>
      <c r="N10" t="s">
        <v>30</v>
      </c>
      <c r="O10">
        <v>45643</v>
      </c>
      <c r="P10" t="s">
        <v>31</v>
      </c>
      <c r="Q10" t="b">
        <v>0</v>
      </c>
      <c r="R10" t="s">
        <v>32</v>
      </c>
      <c r="S10" t="s">
        <v>33</v>
      </c>
      <c r="T10" t="s">
        <v>34</v>
      </c>
      <c r="U10" t="s">
        <v>35</v>
      </c>
      <c r="V10" t="s">
        <v>36</v>
      </c>
      <c r="W10" t="s">
        <v>37</v>
      </c>
      <c r="X10" t="s">
        <v>38</v>
      </c>
      <c r="Y10" t="s">
        <v>39</v>
      </c>
      <c r="Z10" t="s">
        <v>40</v>
      </c>
    </row>
    <row r="11" spans="1:26" x14ac:dyDescent="0.3">
      <c r="A11" t="s">
        <v>26</v>
      </c>
      <c r="B11">
        <v>1610108179828</v>
      </c>
      <c r="C11">
        <v>51485677617</v>
      </c>
      <c r="D11">
        <v>9</v>
      </c>
      <c r="E11" t="b">
        <v>0</v>
      </c>
      <c r="F11">
        <v>0</v>
      </c>
      <c r="G11" t="s">
        <v>27</v>
      </c>
      <c r="H11">
        <v>51364303736</v>
      </c>
      <c r="I11" t="s">
        <v>28</v>
      </c>
      <c r="K11">
        <v>121373881</v>
      </c>
      <c r="L11" t="s">
        <v>29</v>
      </c>
      <c r="N11" t="s">
        <v>30</v>
      </c>
      <c r="O11">
        <v>45643</v>
      </c>
      <c r="P11" t="s">
        <v>31</v>
      </c>
      <c r="Q11" t="b">
        <v>0</v>
      </c>
      <c r="R11" t="s">
        <v>32</v>
      </c>
      <c r="S11" t="s">
        <v>33</v>
      </c>
      <c r="T11" t="s">
        <v>34</v>
      </c>
      <c r="U11" t="s">
        <v>35</v>
      </c>
      <c r="V11" t="s">
        <v>36</v>
      </c>
      <c r="W11" t="s">
        <v>37</v>
      </c>
      <c r="X11" t="s">
        <v>38</v>
      </c>
      <c r="Y11" t="s">
        <v>39</v>
      </c>
      <c r="Z11" t="s">
        <v>40</v>
      </c>
    </row>
    <row r="12" spans="1:26" x14ac:dyDescent="0.3">
      <c r="A12" t="s">
        <v>43</v>
      </c>
      <c r="C12">
        <f>_xlfn.PERCENTILE.INC(C2:C11,0.95)</f>
        <v>52931246015.800003</v>
      </c>
      <c r="H12">
        <f>_xlfn.PERCENTILE.INC(H2:H11,0.95)</f>
        <v>52779049380.849998</v>
      </c>
      <c r="K12">
        <f>_xlfn.PERCENTILE.INC(K2:K11,0.95)</f>
        <v>310759233.39999974</v>
      </c>
    </row>
    <row r="13" spans="1:26" x14ac:dyDescent="0.3">
      <c r="A13" t="s">
        <v>43</v>
      </c>
      <c r="C13">
        <f>C12/1000000000</f>
        <v>52.931246015800006</v>
      </c>
      <c r="H13">
        <f>H12/1000000000</f>
        <v>52.779049380849997</v>
      </c>
      <c r="K13">
        <f>K12/1000000000</f>
        <v>0.31075923339999972</v>
      </c>
    </row>
    <row r="15" spans="1:26" x14ac:dyDescent="0.3">
      <c r="A15" t="s">
        <v>26</v>
      </c>
      <c r="B15">
        <v>1610106436571</v>
      </c>
      <c r="C15">
        <v>53071727589</v>
      </c>
      <c r="D15">
        <v>0</v>
      </c>
      <c r="E15" t="b">
        <v>0</v>
      </c>
      <c r="F15">
        <v>0</v>
      </c>
      <c r="G15" t="s">
        <v>42</v>
      </c>
      <c r="H15">
        <v>52933864937</v>
      </c>
      <c r="I15" t="s">
        <v>28</v>
      </c>
      <c r="K15">
        <v>137862652</v>
      </c>
      <c r="L15" t="s">
        <v>29</v>
      </c>
      <c r="N15" t="s">
        <v>30</v>
      </c>
      <c r="O15">
        <v>45643</v>
      </c>
      <c r="P15" t="s">
        <v>31</v>
      </c>
      <c r="Q15" t="b">
        <v>0</v>
      </c>
      <c r="R15" t="s">
        <v>32</v>
      </c>
      <c r="S15" t="s">
        <v>33</v>
      </c>
      <c r="T15" t="s">
        <v>34</v>
      </c>
      <c r="U15" t="s">
        <v>35</v>
      </c>
      <c r="V15" t="s">
        <v>36</v>
      </c>
      <c r="W15" t="s">
        <v>37</v>
      </c>
      <c r="X15" t="s">
        <v>38</v>
      </c>
      <c r="Y15" t="s">
        <v>39</v>
      </c>
      <c r="Z15" t="s">
        <v>40</v>
      </c>
    </row>
    <row r="16" spans="1:26" x14ac:dyDescent="0.3">
      <c r="A16" t="s">
        <v>26</v>
      </c>
      <c r="B16">
        <v>1610106643463</v>
      </c>
      <c r="C16">
        <v>51630287265</v>
      </c>
      <c r="D16">
        <v>1</v>
      </c>
      <c r="E16" t="b">
        <v>0</v>
      </c>
      <c r="F16">
        <v>0</v>
      </c>
      <c r="G16" t="s">
        <v>42</v>
      </c>
      <c r="H16">
        <v>51472094130</v>
      </c>
      <c r="I16" t="s">
        <v>28</v>
      </c>
      <c r="K16">
        <v>158193135</v>
      </c>
      <c r="L16" t="s">
        <v>29</v>
      </c>
      <c r="N16" t="s">
        <v>30</v>
      </c>
      <c r="O16">
        <v>45643</v>
      </c>
      <c r="P16" t="s">
        <v>31</v>
      </c>
      <c r="Q16" t="b">
        <v>0</v>
      </c>
      <c r="R16" t="s">
        <v>32</v>
      </c>
      <c r="S16" t="s">
        <v>33</v>
      </c>
      <c r="T16" t="s">
        <v>34</v>
      </c>
      <c r="U16" t="s">
        <v>35</v>
      </c>
      <c r="V16" t="s">
        <v>36</v>
      </c>
      <c r="W16" t="s">
        <v>37</v>
      </c>
      <c r="X16" t="s">
        <v>38</v>
      </c>
      <c r="Y16" t="s">
        <v>39</v>
      </c>
      <c r="Z16" t="s">
        <v>40</v>
      </c>
    </row>
    <row r="17" spans="1:26" x14ac:dyDescent="0.3">
      <c r="A17" t="s">
        <v>26</v>
      </c>
      <c r="B17">
        <v>1610106849564</v>
      </c>
      <c r="C17">
        <v>50941288092</v>
      </c>
      <c r="D17">
        <v>2</v>
      </c>
      <c r="E17" t="b">
        <v>0</v>
      </c>
      <c r="F17">
        <v>0</v>
      </c>
      <c r="G17" t="s">
        <v>42</v>
      </c>
      <c r="H17">
        <v>50781915295</v>
      </c>
      <c r="I17" t="s">
        <v>28</v>
      </c>
      <c r="K17">
        <v>159372797</v>
      </c>
      <c r="L17" t="s">
        <v>29</v>
      </c>
      <c r="N17" t="s">
        <v>30</v>
      </c>
      <c r="O17">
        <v>45643</v>
      </c>
      <c r="P17" t="s">
        <v>31</v>
      </c>
      <c r="Q17" t="b">
        <v>0</v>
      </c>
      <c r="R17" t="s">
        <v>32</v>
      </c>
      <c r="S17" t="s">
        <v>33</v>
      </c>
      <c r="T17" t="s">
        <v>34</v>
      </c>
      <c r="U17" t="s">
        <v>35</v>
      </c>
      <c r="V17" t="s">
        <v>36</v>
      </c>
      <c r="W17" t="s">
        <v>37</v>
      </c>
      <c r="X17" t="s">
        <v>38</v>
      </c>
      <c r="Y17" t="s">
        <v>39</v>
      </c>
      <c r="Z17" t="s">
        <v>40</v>
      </c>
    </row>
    <row r="18" spans="1:26" x14ac:dyDescent="0.3">
      <c r="A18" t="s">
        <v>26</v>
      </c>
      <c r="B18">
        <v>1610107054342</v>
      </c>
      <c r="C18">
        <v>51909647229</v>
      </c>
      <c r="D18">
        <v>3</v>
      </c>
      <c r="E18" t="b">
        <v>0</v>
      </c>
      <c r="F18">
        <v>0</v>
      </c>
      <c r="G18" t="s">
        <v>42</v>
      </c>
      <c r="H18">
        <v>51784088035</v>
      </c>
      <c r="I18" t="s">
        <v>28</v>
      </c>
      <c r="K18">
        <v>125559194</v>
      </c>
      <c r="L18" t="s">
        <v>29</v>
      </c>
      <c r="N18" t="s">
        <v>30</v>
      </c>
      <c r="O18">
        <v>45643</v>
      </c>
      <c r="P18" t="s">
        <v>31</v>
      </c>
      <c r="Q18" t="b">
        <v>0</v>
      </c>
      <c r="R18" t="s">
        <v>32</v>
      </c>
      <c r="S18" t="s">
        <v>33</v>
      </c>
      <c r="T18" t="s">
        <v>34</v>
      </c>
      <c r="U18" t="s">
        <v>35</v>
      </c>
      <c r="V18" t="s">
        <v>36</v>
      </c>
      <c r="W18" t="s">
        <v>37</v>
      </c>
      <c r="X18" t="s">
        <v>38</v>
      </c>
      <c r="Y18" t="s">
        <v>39</v>
      </c>
      <c r="Z18" t="s">
        <v>40</v>
      </c>
    </row>
    <row r="19" spans="1:26" x14ac:dyDescent="0.3">
      <c r="A19" t="s">
        <v>26</v>
      </c>
      <c r="B19">
        <v>1610107258895</v>
      </c>
      <c r="C19">
        <v>51474191004</v>
      </c>
      <c r="D19">
        <v>4</v>
      </c>
      <c r="E19" t="b">
        <v>0</v>
      </c>
      <c r="F19">
        <v>0</v>
      </c>
      <c r="G19" t="s">
        <v>42</v>
      </c>
      <c r="H19">
        <v>51338394728</v>
      </c>
      <c r="I19" t="s">
        <v>28</v>
      </c>
      <c r="K19">
        <v>135796276</v>
      </c>
      <c r="L19" t="s">
        <v>29</v>
      </c>
      <c r="N19" t="s">
        <v>30</v>
      </c>
      <c r="O19">
        <v>45643</v>
      </c>
      <c r="P19" t="s">
        <v>31</v>
      </c>
      <c r="Q19" t="b">
        <v>0</v>
      </c>
      <c r="R19" t="s">
        <v>32</v>
      </c>
      <c r="S19" t="s">
        <v>33</v>
      </c>
      <c r="T19" t="s">
        <v>34</v>
      </c>
      <c r="U19" t="s">
        <v>35</v>
      </c>
      <c r="V19" t="s">
        <v>36</v>
      </c>
      <c r="W19" t="s">
        <v>37</v>
      </c>
      <c r="X19" t="s">
        <v>38</v>
      </c>
      <c r="Y19" t="s">
        <v>39</v>
      </c>
      <c r="Z19" t="s">
        <v>40</v>
      </c>
    </row>
    <row r="20" spans="1:26" x14ac:dyDescent="0.3">
      <c r="A20" t="s">
        <v>26</v>
      </c>
      <c r="B20">
        <v>1610107460552</v>
      </c>
      <c r="C20">
        <v>52667620572</v>
      </c>
      <c r="D20">
        <v>5</v>
      </c>
      <c r="E20" t="b">
        <v>0</v>
      </c>
      <c r="F20">
        <v>0</v>
      </c>
      <c r="G20" t="s">
        <v>42</v>
      </c>
      <c r="H20">
        <v>52537512285</v>
      </c>
      <c r="I20" t="s">
        <v>28</v>
      </c>
      <c r="K20">
        <v>130108287</v>
      </c>
      <c r="L20" t="s">
        <v>29</v>
      </c>
      <c r="N20" t="s">
        <v>30</v>
      </c>
      <c r="O20">
        <v>45643</v>
      </c>
      <c r="P20" t="s">
        <v>31</v>
      </c>
      <c r="Q20" t="b">
        <v>0</v>
      </c>
      <c r="R20" t="s">
        <v>32</v>
      </c>
      <c r="S20" t="s">
        <v>33</v>
      </c>
      <c r="T20" t="s">
        <v>34</v>
      </c>
      <c r="U20" t="s">
        <v>35</v>
      </c>
      <c r="V20" t="s">
        <v>36</v>
      </c>
      <c r="W20" t="s">
        <v>37</v>
      </c>
      <c r="X20" t="s">
        <v>38</v>
      </c>
      <c r="Y20" t="s">
        <v>39</v>
      </c>
      <c r="Z20" t="s">
        <v>40</v>
      </c>
    </row>
    <row r="21" spans="1:26" x14ac:dyDescent="0.3">
      <c r="A21" t="s">
        <v>26</v>
      </c>
      <c r="B21">
        <v>1610107664576</v>
      </c>
      <c r="C21">
        <v>53388856643</v>
      </c>
      <c r="D21">
        <v>6</v>
      </c>
      <c r="E21" t="b">
        <v>0</v>
      </c>
      <c r="F21">
        <v>0</v>
      </c>
      <c r="G21" t="s">
        <v>42</v>
      </c>
      <c r="H21">
        <v>53237596636</v>
      </c>
      <c r="I21" t="s">
        <v>28</v>
      </c>
      <c r="K21">
        <v>151260007</v>
      </c>
      <c r="L21" t="s">
        <v>29</v>
      </c>
      <c r="N21" t="s">
        <v>30</v>
      </c>
      <c r="O21">
        <v>45643</v>
      </c>
      <c r="P21" t="s">
        <v>31</v>
      </c>
      <c r="Q21" t="b">
        <v>0</v>
      </c>
      <c r="R21" t="s">
        <v>32</v>
      </c>
      <c r="S21" t="s">
        <v>33</v>
      </c>
      <c r="T21" t="s">
        <v>34</v>
      </c>
      <c r="U21" t="s">
        <v>35</v>
      </c>
      <c r="V21" t="s">
        <v>36</v>
      </c>
      <c r="W21" t="s">
        <v>37</v>
      </c>
      <c r="X21" t="s">
        <v>38</v>
      </c>
      <c r="Y21" t="s">
        <v>39</v>
      </c>
      <c r="Z21" t="s">
        <v>40</v>
      </c>
    </row>
    <row r="22" spans="1:26" x14ac:dyDescent="0.3">
      <c r="A22" t="s">
        <v>26</v>
      </c>
      <c r="B22">
        <v>1610107871134</v>
      </c>
      <c r="C22">
        <v>51479775315</v>
      </c>
      <c r="D22">
        <v>7</v>
      </c>
      <c r="E22" t="b">
        <v>0</v>
      </c>
      <c r="F22">
        <v>0</v>
      </c>
      <c r="G22" t="s">
        <v>42</v>
      </c>
      <c r="H22">
        <v>51346845180</v>
      </c>
      <c r="I22" t="s">
        <v>28</v>
      </c>
      <c r="K22">
        <v>132930135</v>
      </c>
      <c r="L22" t="s">
        <v>29</v>
      </c>
      <c r="N22" t="s">
        <v>30</v>
      </c>
      <c r="O22">
        <v>45643</v>
      </c>
      <c r="P22" t="s">
        <v>31</v>
      </c>
      <c r="Q22" t="b">
        <v>0</v>
      </c>
      <c r="R22" t="s">
        <v>32</v>
      </c>
      <c r="S22" t="s">
        <v>33</v>
      </c>
      <c r="T22" t="s">
        <v>34</v>
      </c>
      <c r="U22" t="s">
        <v>35</v>
      </c>
      <c r="V22" t="s">
        <v>36</v>
      </c>
      <c r="W22" t="s">
        <v>37</v>
      </c>
      <c r="X22" t="s">
        <v>38</v>
      </c>
      <c r="Y22" t="s">
        <v>39</v>
      </c>
      <c r="Z22" t="s">
        <v>40</v>
      </c>
    </row>
    <row r="23" spans="1:26" x14ac:dyDescent="0.3">
      <c r="A23" t="s">
        <v>26</v>
      </c>
      <c r="B23">
        <v>1610108077772</v>
      </c>
      <c r="C23">
        <v>52353220561</v>
      </c>
      <c r="D23">
        <v>8</v>
      </c>
      <c r="E23" t="b">
        <v>0</v>
      </c>
      <c r="F23">
        <v>0</v>
      </c>
      <c r="G23" t="s">
        <v>42</v>
      </c>
      <c r="H23">
        <v>52230197408</v>
      </c>
      <c r="I23" t="s">
        <v>28</v>
      </c>
      <c r="K23">
        <v>123023153</v>
      </c>
      <c r="L23" t="s">
        <v>29</v>
      </c>
      <c r="N23" t="s">
        <v>30</v>
      </c>
      <c r="O23">
        <v>45643</v>
      </c>
      <c r="P23" t="s">
        <v>31</v>
      </c>
      <c r="Q23" t="b">
        <v>0</v>
      </c>
      <c r="R23" t="s">
        <v>32</v>
      </c>
      <c r="S23" t="s">
        <v>33</v>
      </c>
      <c r="T23" t="s">
        <v>34</v>
      </c>
      <c r="U23" t="s">
        <v>35</v>
      </c>
      <c r="V23" t="s">
        <v>36</v>
      </c>
      <c r="W23" t="s">
        <v>37</v>
      </c>
      <c r="X23" t="s">
        <v>38</v>
      </c>
      <c r="Y23" t="s">
        <v>39</v>
      </c>
      <c r="Z23" t="s">
        <v>40</v>
      </c>
    </row>
    <row r="24" spans="1:26" x14ac:dyDescent="0.3">
      <c r="A24" t="s">
        <v>26</v>
      </c>
      <c r="B24">
        <v>1610108282147</v>
      </c>
      <c r="C24">
        <v>46234617462</v>
      </c>
      <c r="D24">
        <v>9</v>
      </c>
      <c r="E24" t="b">
        <v>0</v>
      </c>
      <c r="F24">
        <v>0</v>
      </c>
      <c r="G24" t="s">
        <v>42</v>
      </c>
      <c r="H24">
        <v>46108747004</v>
      </c>
      <c r="I24" t="s">
        <v>28</v>
      </c>
      <c r="K24">
        <v>125870458</v>
      </c>
      <c r="L24" t="s">
        <v>29</v>
      </c>
      <c r="N24" t="s">
        <v>30</v>
      </c>
      <c r="O24">
        <v>45643</v>
      </c>
      <c r="P24" t="s">
        <v>31</v>
      </c>
      <c r="Q24" t="b">
        <v>0</v>
      </c>
      <c r="R24" t="s">
        <v>32</v>
      </c>
      <c r="S24" t="s">
        <v>33</v>
      </c>
      <c r="T24" t="s">
        <v>34</v>
      </c>
      <c r="U24" t="s">
        <v>35</v>
      </c>
      <c r="V24" t="s">
        <v>36</v>
      </c>
      <c r="W24" t="s">
        <v>37</v>
      </c>
      <c r="X24" t="s">
        <v>38</v>
      </c>
      <c r="Y24" t="s">
        <v>39</v>
      </c>
      <c r="Z24" t="s">
        <v>40</v>
      </c>
    </row>
    <row r="25" spans="1:26" x14ac:dyDescent="0.3">
      <c r="A25" t="s">
        <v>44</v>
      </c>
      <c r="C25">
        <f>_xlfn.PERCENTILE.INC(C15:C24,0.95)</f>
        <v>53246148568.699997</v>
      </c>
      <c r="H25">
        <f>_xlfn.PERCENTILE.INC(H15:H24,0.95)</f>
        <v>53100917371.449997</v>
      </c>
      <c r="K25">
        <f>_xlfn.PERCENTILE.INC(K15:K24,0.95)</f>
        <v>158841949.09999999</v>
      </c>
    </row>
    <row r="26" spans="1:26" x14ac:dyDescent="0.3">
      <c r="A26" t="s">
        <v>44</v>
      </c>
      <c r="C26">
        <f>C25/1000000000</f>
        <v>53.246148568699994</v>
      </c>
      <c r="H26">
        <f>H25/1000000000</f>
        <v>53.100917371449995</v>
      </c>
      <c r="K26">
        <f>K25/1000000000</f>
        <v>0.15884194909999999</v>
      </c>
    </row>
    <row r="36" spans="1:26" x14ac:dyDescent="0.3">
      <c r="A36" t="s">
        <v>26</v>
      </c>
      <c r="B36">
        <v>1610106381625</v>
      </c>
      <c r="C36">
        <v>5271161008</v>
      </c>
      <c r="D36">
        <v>0</v>
      </c>
      <c r="E36" t="b">
        <v>0</v>
      </c>
      <c r="F36">
        <v>0</v>
      </c>
      <c r="G36" t="s">
        <v>27</v>
      </c>
      <c r="H36">
        <v>5019764773</v>
      </c>
      <c r="I36" t="s">
        <v>28</v>
      </c>
      <c r="K36">
        <v>251396235</v>
      </c>
      <c r="L36" t="s">
        <v>41</v>
      </c>
      <c r="N36" t="s">
        <v>30</v>
      </c>
      <c r="O36">
        <v>45643</v>
      </c>
      <c r="P36" t="s">
        <v>31</v>
      </c>
      <c r="Q36" t="b">
        <v>0</v>
      </c>
      <c r="R36" t="s">
        <v>32</v>
      </c>
      <c r="S36" t="s">
        <v>33</v>
      </c>
      <c r="T36" t="s">
        <v>34</v>
      </c>
      <c r="U36" t="s">
        <v>35</v>
      </c>
      <c r="V36" t="s">
        <v>36</v>
      </c>
      <c r="W36" t="s">
        <v>37</v>
      </c>
      <c r="X36" t="s">
        <v>38</v>
      </c>
      <c r="Y36" t="s">
        <v>39</v>
      </c>
      <c r="Z36" t="s">
        <v>40</v>
      </c>
    </row>
    <row r="37" spans="1:26" x14ac:dyDescent="0.3">
      <c r="A37" t="s">
        <v>26</v>
      </c>
      <c r="B37">
        <v>1610106594586</v>
      </c>
      <c r="C37">
        <v>754546114</v>
      </c>
      <c r="D37">
        <v>1</v>
      </c>
      <c r="E37" t="b">
        <v>0</v>
      </c>
      <c r="F37">
        <v>0</v>
      </c>
      <c r="G37" t="s">
        <v>27</v>
      </c>
      <c r="H37">
        <v>559025312</v>
      </c>
      <c r="I37" t="s">
        <v>28</v>
      </c>
      <c r="K37">
        <v>116599614</v>
      </c>
      <c r="L37" t="s">
        <v>41</v>
      </c>
      <c r="N37" t="s">
        <v>30</v>
      </c>
      <c r="O37">
        <v>45643</v>
      </c>
      <c r="P37" t="s">
        <v>31</v>
      </c>
      <c r="Q37" t="b">
        <v>0</v>
      </c>
      <c r="R37" t="s">
        <v>32</v>
      </c>
      <c r="S37" t="s">
        <v>33</v>
      </c>
      <c r="T37" t="s">
        <v>34</v>
      </c>
      <c r="U37" t="s">
        <v>35</v>
      </c>
      <c r="V37" t="s">
        <v>36</v>
      </c>
      <c r="W37" t="s">
        <v>37</v>
      </c>
      <c r="X37" t="s">
        <v>38</v>
      </c>
      <c r="Y37" t="s">
        <v>39</v>
      </c>
      <c r="Z37" t="s">
        <v>40</v>
      </c>
    </row>
    <row r="38" spans="1:26" x14ac:dyDescent="0.3">
      <c r="A38" t="s">
        <v>26</v>
      </c>
      <c r="B38">
        <v>1610106801126</v>
      </c>
      <c r="C38">
        <v>501408963</v>
      </c>
      <c r="D38">
        <v>2</v>
      </c>
      <c r="E38" t="b">
        <v>0</v>
      </c>
      <c r="F38">
        <v>0</v>
      </c>
      <c r="G38" t="s">
        <v>27</v>
      </c>
      <c r="H38">
        <v>355336718</v>
      </c>
      <c r="I38" t="s">
        <v>28</v>
      </c>
      <c r="K38">
        <v>195520802</v>
      </c>
      <c r="L38" t="s">
        <v>41</v>
      </c>
      <c r="N38" t="s">
        <v>30</v>
      </c>
      <c r="O38">
        <v>45643</v>
      </c>
      <c r="P38" t="s">
        <v>31</v>
      </c>
      <c r="Q38" t="b">
        <v>0</v>
      </c>
      <c r="R38" t="s">
        <v>32</v>
      </c>
      <c r="S38" t="s">
        <v>33</v>
      </c>
      <c r="T38" t="s">
        <v>34</v>
      </c>
      <c r="U38" t="s">
        <v>35</v>
      </c>
      <c r="V38" t="s">
        <v>36</v>
      </c>
      <c r="W38" t="s">
        <v>37</v>
      </c>
      <c r="X38" t="s">
        <v>38</v>
      </c>
      <c r="Y38" t="s">
        <v>39</v>
      </c>
      <c r="Z38" t="s">
        <v>40</v>
      </c>
    </row>
    <row r="39" spans="1:26" x14ac:dyDescent="0.3">
      <c r="A39" t="s">
        <v>26</v>
      </c>
      <c r="B39">
        <v>1610107004591</v>
      </c>
      <c r="C39">
        <v>472570413</v>
      </c>
      <c r="D39">
        <v>3</v>
      </c>
      <c r="E39" t="b">
        <v>0</v>
      </c>
      <c r="F39">
        <v>0</v>
      </c>
      <c r="G39" t="s">
        <v>27</v>
      </c>
      <c r="H39">
        <v>306841562</v>
      </c>
      <c r="I39" t="s">
        <v>28</v>
      </c>
      <c r="K39">
        <v>111099884</v>
      </c>
      <c r="L39" t="s">
        <v>41</v>
      </c>
      <c r="N39" t="s">
        <v>30</v>
      </c>
      <c r="O39">
        <v>45643</v>
      </c>
      <c r="P39" t="s">
        <v>31</v>
      </c>
      <c r="Q39" t="b">
        <v>0</v>
      </c>
      <c r="R39" t="s">
        <v>32</v>
      </c>
      <c r="S39" t="s">
        <v>33</v>
      </c>
      <c r="T39" t="s">
        <v>34</v>
      </c>
      <c r="U39" t="s">
        <v>35</v>
      </c>
      <c r="V39" t="s">
        <v>36</v>
      </c>
      <c r="W39" t="s">
        <v>37</v>
      </c>
      <c r="X39" t="s">
        <v>38</v>
      </c>
      <c r="Y39" t="s">
        <v>39</v>
      </c>
      <c r="Z39" t="s">
        <v>40</v>
      </c>
    </row>
    <row r="40" spans="1:26" x14ac:dyDescent="0.3">
      <c r="A40" t="s">
        <v>26</v>
      </c>
      <c r="B40">
        <v>1610107210366</v>
      </c>
      <c r="C40">
        <v>461874427</v>
      </c>
      <c r="D40">
        <v>4</v>
      </c>
      <c r="E40" t="b">
        <v>0</v>
      </c>
      <c r="F40">
        <v>0</v>
      </c>
      <c r="G40" t="s">
        <v>27</v>
      </c>
      <c r="H40">
        <v>297420323</v>
      </c>
      <c r="I40" t="s">
        <v>28</v>
      </c>
      <c r="K40">
        <v>146072245</v>
      </c>
      <c r="L40" t="s">
        <v>41</v>
      </c>
      <c r="N40" t="s">
        <v>30</v>
      </c>
      <c r="O40">
        <v>45643</v>
      </c>
      <c r="P40" t="s">
        <v>31</v>
      </c>
      <c r="Q40" t="b">
        <v>0</v>
      </c>
      <c r="R40" t="s">
        <v>32</v>
      </c>
      <c r="S40" t="s">
        <v>33</v>
      </c>
      <c r="T40" t="s">
        <v>34</v>
      </c>
      <c r="U40" t="s">
        <v>35</v>
      </c>
      <c r="V40" t="s">
        <v>36</v>
      </c>
      <c r="W40" t="s">
        <v>37</v>
      </c>
      <c r="X40" t="s">
        <v>38</v>
      </c>
      <c r="Y40" t="s">
        <v>39</v>
      </c>
      <c r="Z40" t="s">
        <v>40</v>
      </c>
    </row>
    <row r="41" spans="1:26" x14ac:dyDescent="0.3">
      <c r="A41" t="s">
        <v>26</v>
      </c>
      <c r="B41">
        <v>1610107412795</v>
      </c>
      <c r="C41">
        <v>483075718</v>
      </c>
      <c r="D41">
        <v>5</v>
      </c>
      <c r="E41" t="b">
        <v>0</v>
      </c>
      <c r="F41">
        <v>0</v>
      </c>
      <c r="G41" t="s">
        <v>27</v>
      </c>
      <c r="H41">
        <v>317159774</v>
      </c>
      <c r="I41" t="s">
        <v>28</v>
      </c>
      <c r="K41">
        <v>113236711</v>
      </c>
      <c r="L41" t="s">
        <v>41</v>
      </c>
      <c r="N41" t="s">
        <v>30</v>
      </c>
      <c r="O41">
        <v>45643</v>
      </c>
      <c r="P41" t="s">
        <v>31</v>
      </c>
      <c r="Q41" t="b">
        <v>0</v>
      </c>
      <c r="R41" t="s">
        <v>32</v>
      </c>
      <c r="S41" t="s">
        <v>33</v>
      </c>
      <c r="T41" t="s">
        <v>34</v>
      </c>
      <c r="U41" t="s">
        <v>35</v>
      </c>
      <c r="V41" t="s">
        <v>36</v>
      </c>
      <c r="W41" t="s">
        <v>37</v>
      </c>
      <c r="X41" t="s">
        <v>38</v>
      </c>
      <c r="Y41" t="s">
        <v>39</v>
      </c>
      <c r="Z41" t="s">
        <v>40</v>
      </c>
    </row>
    <row r="42" spans="1:26" x14ac:dyDescent="0.3">
      <c r="A42" t="s">
        <v>26</v>
      </c>
      <c r="B42">
        <v>1610107615848</v>
      </c>
      <c r="C42">
        <v>455673579</v>
      </c>
      <c r="D42">
        <v>6</v>
      </c>
      <c r="E42" t="b">
        <v>0</v>
      </c>
      <c r="F42">
        <v>0</v>
      </c>
      <c r="G42" t="s">
        <v>27</v>
      </c>
      <c r="H42">
        <v>294983100</v>
      </c>
      <c r="I42" t="s">
        <v>28</v>
      </c>
      <c r="K42">
        <v>165728851</v>
      </c>
      <c r="L42" t="s">
        <v>41</v>
      </c>
      <c r="N42" t="s">
        <v>30</v>
      </c>
      <c r="O42">
        <v>45643</v>
      </c>
      <c r="P42" t="s">
        <v>31</v>
      </c>
      <c r="Q42" t="b">
        <v>0</v>
      </c>
      <c r="R42" t="s">
        <v>32</v>
      </c>
      <c r="S42" t="s">
        <v>33</v>
      </c>
      <c r="T42" t="s">
        <v>34</v>
      </c>
      <c r="U42" t="s">
        <v>35</v>
      </c>
      <c r="V42" t="s">
        <v>36</v>
      </c>
      <c r="W42" t="s">
        <v>37</v>
      </c>
      <c r="X42" t="s">
        <v>38</v>
      </c>
      <c r="Y42" t="s">
        <v>39</v>
      </c>
      <c r="Z42" t="s">
        <v>40</v>
      </c>
    </row>
    <row r="43" spans="1:26" x14ac:dyDescent="0.3">
      <c r="A43" t="s">
        <v>26</v>
      </c>
      <c r="B43">
        <v>1610107821600</v>
      </c>
      <c r="C43">
        <v>458511996</v>
      </c>
      <c r="D43">
        <v>7</v>
      </c>
      <c r="E43" t="b">
        <v>0</v>
      </c>
      <c r="F43">
        <v>0</v>
      </c>
      <c r="G43" t="s">
        <v>27</v>
      </c>
      <c r="H43">
        <v>313635106</v>
      </c>
      <c r="I43" t="s">
        <v>28</v>
      </c>
      <c r="K43">
        <v>108656500</v>
      </c>
      <c r="L43" t="s">
        <v>41</v>
      </c>
      <c r="N43" t="s">
        <v>30</v>
      </c>
      <c r="O43">
        <v>45643</v>
      </c>
      <c r="P43" t="s">
        <v>31</v>
      </c>
      <c r="Q43" t="b">
        <v>0</v>
      </c>
      <c r="R43" t="s">
        <v>32</v>
      </c>
      <c r="S43" t="s">
        <v>33</v>
      </c>
      <c r="T43" t="s">
        <v>34</v>
      </c>
      <c r="U43" t="s">
        <v>35</v>
      </c>
      <c r="V43" t="s">
        <v>36</v>
      </c>
      <c r="W43" t="s">
        <v>37</v>
      </c>
      <c r="X43" t="s">
        <v>38</v>
      </c>
      <c r="Y43" t="s">
        <v>39</v>
      </c>
      <c r="Z43" t="s">
        <v>40</v>
      </c>
    </row>
    <row r="44" spans="1:26" x14ac:dyDescent="0.3">
      <c r="A44" t="s">
        <v>26</v>
      </c>
      <c r="B44">
        <v>1610108029173</v>
      </c>
      <c r="C44">
        <v>474648817</v>
      </c>
      <c r="D44">
        <v>8</v>
      </c>
      <c r="E44" t="b">
        <v>0</v>
      </c>
      <c r="F44">
        <v>0</v>
      </c>
      <c r="G44" t="s">
        <v>27</v>
      </c>
      <c r="H44">
        <v>326460130</v>
      </c>
      <c r="I44" t="s">
        <v>28</v>
      </c>
      <c r="K44">
        <v>164454104</v>
      </c>
      <c r="L44" t="s">
        <v>41</v>
      </c>
      <c r="N44" t="s">
        <v>30</v>
      </c>
      <c r="O44">
        <v>45643</v>
      </c>
      <c r="P44" t="s">
        <v>31</v>
      </c>
      <c r="Q44" t="b">
        <v>0</v>
      </c>
      <c r="R44" t="s">
        <v>32</v>
      </c>
      <c r="S44" t="s">
        <v>33</v>
      </c>
      <c r="T44" t="s">
        <v>34</v>
      </c>
      <c r="U44" t="s">
        <v>35</v>
      </c>
      <c r="V44" t="s">
        <v>36</v>
      </c>
      <c r="W44" t="s">
        <v>37</v>
      </c>
      <c r="X44" t="s">
        <v>38</v>
      </c>
      <c r="Y44" t="s">
        <v>39</v>
      </c>
      <c r="Z44" t="s">
        <v>40</v>
      </c>
    </row>
    <row r="45" spans="1:26" x14ac:dyDescent="0.3">
      <c r="A45" t="s">
        <v>26</v>
      </c>
      <c r="B45">
        <v>1610108232230</v>
      </c>
      <c r="C45">
        <v>435767869</v>
      </c>
      <c r="D45">
        <v>9</v>
      </c>
      <c r="E45" t="b">
        <v>0</v>
      </c>
      <c r="F45">
        <v>0</v>
      </c>
      <c r="G45" t="s">
        <v>27</v>
      </c>
      <c r="H45">
        <v>285319826</v>
      </c>
      <c r="I45" t="s">
        <v>28</v>
      </c>
      <c r="K45">
        <v>103078898</v>
      </c>
      <c r="L45" t="s">
        <v>41</v>
      </c>
      <c r="N45" t="s">
        <v>30</v>
      </c>
      <c r="O45">
        <v>45643</v>
      </c>
      <c r="P45" t="s">
        <v>31</v>
      </c>
      <c r="Q45" t="b">
        <v>0</v>
      </c>
      <c r="R45" t="s">
        <v>32</v>
      </c>
      <c r="S45" t="s">
        <v>33</v>
      </c>
      <c r="T45" t="s">
        <v>34</v>
      </c>
      <c r="U45" t="s">
        <v>35</v>
      </c>
      <c r="V45" t="s">
        <v>36</v>
      </c>
      <c r="W45" t="s">
        <v>37</v>
      </c>
      <c r="X45" t="s">
        <v>38</v>
      </c>
      <c r="Y45" t="s">
        <v>39</v>
      </c>
      <c r="Z45" t="s">
        <v>40</v>
      </c>
    </row>
    <row r="46" spans="1:26" x14ac:dyDescent="0.3">
      <c r="A46" t="s">
        <v>45</v>
      </c>
      <c r="C46">
        <f>_xlfn.PERCENTILE.INC(C36:C45,0.95)</f>
        <v>3238684305.699995</v>
      </c>
      <c r="H46">
        <f>_xlfn.PERCENTILE.INC(H36:H45,0.95)</f>
        <v>3012432015.5499954</v>
      </c>
      <c r="K46">
        <f>_xlfn.PERCENTILE.INC(K36:K45,0.95)</f>
        <v>226252290.14999995</v>
      </c>
    </row>
    <row r="47" spans="1:26" x14ac:dyDescent="0.3">
      <c r="A47" t="s">
        <v>45</v>
      </c>
      <c r="C47">
        <f>C46/1000000000</f>
        <v>3.2386843056999952</v>
      </c>
      <c r="H47">
        <f>H46/1000000000</f>
        <v>3.0124320155499955</v>
      </c>
      <c r="K47">
        <f>K46/1000000000</f>
        <v>0.22625229014999995</v>
      </c>
    </row>
    <row r="49" spans="1:26" x14ac:dyDescent="0.3">
      <c r="A49" t="s">
        <v>26</v>
      </c>
      <c r="B49">
        <v>1610106492191</v>
      </c>
      <c r="C49">
        <v>440221174</v>
      </c>
      <c r="D49">
        <v>0</v>
      </c>
      <c r="E49" t="b">
        <v>0</v>
      </c>
      <c r="F49">
        <v>0</v>
      </c>
      <c r="G49" t="s">
        <v>42</v>
      </c>
      <c r="H49">
        <v>323621560</v>
      </c>
      <c r="I49" t="s">
        <v>28</v>
      </c>
      <c r="K49">
        <v>165915944</v>
      </c>
      <c r="L49" t="s">
        <v>41</v>
      </c>
      <c r="N49" t="s">
        <v>30</v>
      </c>
      <c r="O49">
        <v>45643</v>
      </c>
      <c r="P49" t="s">
        <v>31</v>
      </c>
      <c r="Q49" t="b">
        <v>0</v>
      </c>
      <c r="R49" t="s">
        <v>32</v>
      </c>
      <c r="S49" t="s">
        <v>33</v>
      </c>
      <c r="T49" t="s">
        <v>34</v>
      </c>
      <c r="U49" t="s">
        <v>35</v>
      </c>
      <c r="V49" t="s">
        <v>36</v>
      </c>
      <c r="W49" t="s">
        <v>37</v>
      </c>
      <c r="X49" t="s">
        <v>38</v>
      </c>
      <c r="Y49" t="s">
        <v>39</v>
      </c>
      <c r="Z49" t="s">
        <v>40</v>
      </c>
    </row>
    <row r="50" spans="1:26" x14ac:dyDescent="0.3">
      <c r="A50" t="s">
        <v>26</v>
      </c>
      <c r="B50">
        <v>1610106698505</v>
      </c>
      <c r="C50">
        <v>432509855</v>
      </c>
      <c r="D50">
        <v>1</v>
      </c>
      <c r="E50" t="b">
        <v>0</v>
      </c>
      <c r="F50">
        <v>0</v>
      </c>
      <c r="G50" t="s">
        <v>42</v>
      </c>
      <c r="H50">
        <v>321409971</v>
      </c>
      <c r="I50" t="s">
        <v>28</v>
      </c>
      <c r="K50">
        <v>113917305</v>
      </c>
      <c r="L50" t="s">
        <v>41</v>
      </c>
      <c r="N50" t="s">
        <v>30</v>
      </c>
      <c r="O50">
        <v>45643</v>
      </c>
      <c r="P50" t="s">
        <v>31</v>
      </c>
      <c r="Q50" t="b">
        <v>0</v>
      </c>
      <c r="R50" t="s">
        <v>32</v>
      </c>
      <c r="S50" t="s">
        <v>33</v>
      </c>
      <c r="T50" t="s">
        <v>34</v>
      </c>
      <c r="U50" t="s">
        <v>35</v>
      </c>
      <c r="V50" t="s">
        <v>36</v>
      </c>
      <c r="W50" t="s">
        <v>37</v>
      </c>
      <c r="X50" t="s">
        <v>38</v>
      </c>
      <c r="Y50" t="s">
        <v>39</v>
      </c>
      <c r="Z50" t="s">
        <v>40</v>
      </c>
    </row>
    <row r="51" spans="1:26" x14ac:dyDescent="0.3">
      <c r="A51" t="s">
        <v>26</v>
      </c>
      <c r="B51">
        <v>1610106903553</v>
      </c>
      <c r="C51">
        <v>490909458</v>
      </c>
      <c r="D51">
        <v>2</v>
      </c>
      <c r="E51" t="b">
        <v>0</v>
      </c>
      <c r="F51">
        <v>0</v>
      </c>
      <c r="G51" t="s">
        <v>42</v>
      </c>
      <c r="H51">
        <v>377672747</v>
      </c>
      <c r="I51" t="s">
        <v>28</v>
      </c>
      <c r="K51">
        <v>160690479</v>
      </c>
      <c r="L51" t="s">
        <v>41</v>
      </c>
      <c r="N51" t="s">
        <v>30</v>
      </c>
      <c r="O51">
        <v>45643</v>
      </c>
      <c r="P51" t="s">
        <v>31</v>
      </c>
      <c r="Q51" t="b">
        <v>0</v>
      </c>
      <c r="R51" t="s">
        <v>32</v>
      </c>
      <c r="S51" t="s">
        <v>33</v>
      </c>
      <c r="T51" t="s">
        <v>34</v>
      </c>
      <c r="U51" t="s">
        <v>35</v>
      </c>
      <c r="V51" t="s">
        <v>36</v>
      </c>
      <c r="W51" t="s">
        <v>37</v>
      </c>
      <c r="X51" t="s">
        <v>38</v>
      </c>
      <c r="Y51" t="s">
        <v>39</v>
      </c>
      <c r="Z51" t="s">
        <v>40</v>
      </c>
    </row>
    <row r="52" spans="1:26" x14ac:dyDescent="0.3">
      <c r="A52" t="s">
        <v>26</v>
      </c>
      <c r="B52">
        <v>1610107109614</v>
      </c>
      <c r="C52">
        <v>417727391</v>
      </c>
      <c r="D52">
        <v>3</v>
      </c>
      <c r="E52" t="b">
        <v>0</v>
      </c>
      <c r="F52">
        <v>0</v>
      </c>
      <c r="G52" t="s">
        <v>42</v>
      </c>
      <c r="H52">
        <v>309070891</v>
      </c>
      <c r="I52" t="s">
        <v>28</v>
      </c>
      <c r="K52">
        <v>241038156</v>
      </c>
      <c r="L52" t="s">
        <v>41</v>
      </c>
      <c r="N52" t="s">
        <v>30</v>
      </c>
      <c r="O52">
        <v>45643</v>
      </c>
      <c r="P52" t="s">
        <v>31</v>
      </c>
      <c r="Q52" t="b">
        <v>0</v>
      </c>
      <c r="R52" t="s">
        <v>32</v>
      </c>
      <c r="S52" t="s">
        <v>33</v>
      </c>
      <c r="T52" t="s">
        <v>34</v>
      </c>
      <c r="U52" t="s">
        <v>35</v>
      </c>
      <c r="V52" t="s">
        <v>36</v>
      </c>
      <c r="W52" t="s">
        <v>37</v>
      </c>
      <c r="X52" t="s">
        <v>38</v>
      </c>
      <c r="Y52" t="s">
        <v>39</v>
      </c>
      <c r="Z52" t="s">
        <v>40</v>
      </c>
    </row>
    <row r="53" spans="1:26" x14ac:dyDescent="0.3">
      <c r="A53" t="s">
        <v>26</v>
      </c>
      <c r="B53">
        <v>1610107311146</v>
      </c>
      <c r="C53">
        <v>395637620</v>
      </c>
      <c r="D53">
        <v>4</v>
      </c>
      <c r="E53" t="b">
        <v>0</v>
      </c>
      <c r="F53">
        <v>0</v>
      </c>
      <c r="G53" t="s">
        <v>42</v>
      </c>
      <c r="H53">
        <v>292558722</v>
      </c>
      <c r="I53" t="s">
        <v>28</v>
      </c>
      <c r="K53">
        <v>144876890</v>
      </c>
      <c r="L53" t="s">
        <v>41</v>
      </c>
      <c r="N53" t="s">
        <v>30</v>
      </c>
      <c r="O53">
        <v>45643</v>
      </c>
      <c r="P53" t="s">
        <v>31</v>
      </c>
      <c r="Q53" t="b">
        <v>0</v>
      </c>
      <c r="R53" t="s">
        <v>32</v>
      </c>
      <c r="S53" t="s">
        <v>33</v>
      </c>
      <c r="T53" t="s">
        <v>34</v>
      </c>
      <c r="U53" t="s">
        <v>35</v>
      </c>
      <c r="V53" t="s">
        <v>36</v>
      </c>
      <c r="W53" t="s">
        <v>37</v>
      </c>
      <c r="X53" t="s">
        <v>38</v>
      </c>
      <c r="Y53" t="s">
        <v>39</v>
      </c>
      <c r="Z53" t="s">
        <v>40</v>
      </c>
    </row>
    <row r="54" spans="1:26" x14ac:dyDescent="0.3">
      <c r="A54" t="s">
        <v>26</v>
      </c>
      <c r="B54">
        <v>1610107514689</v>
      </c>
      <c r="C54">
        <v>415459705</v>
      </c>
      <c r="D54">
        <v>5</v>
      </c>
      <c r="E54" t="b">
        <v>0</v>
      </c>
      <c r="F54">
        <v>0</v>
      </c>
      <c r="G54" t="s">
        <v>42</v>
      </c>
      <c r="H54">
        <v>301542400</v>
      </c>
      <c r="I54" t="s">
        <v>28</v>
      </c>
      <c r="K54">
        <v>118597712</v>
      </c>
      <c r="L54" t="s">
        <v>41</v>
      </c>
      <c r="N54" t="s">
        <v>30</v>
      </c>
      <c r="O54">
        <v>45643</v>
      </c>
      <c r="P54" t="s">
        <v>31</v>
      </c>
      <c r="Q54" t="b">
        <v>0</v>
      </c>
      <c r="R54" t="s">
        <v>32</v>
      </c>
      <c r="S54" t="s">
        <v>33</v>
      </c>
      <c r="T54" t="s">
        <v>34</v>
      </c>
      <c r="U54" t="s">
        <v>35</v>
      </c>
      <c r="V54" t="s">
        <v>36</v>
      </c>
      <c r="W54" t="s">
        <v>37</v>
      </c>
      <c r="X54" t="s">
        <v>38</v>
      </c>
      <c r="Y54" t="s">
        <v>39</v>
      </c>
      <c r="Z54" t="s">
        <v>40</v>
      </c>
    </row>
    <row r="55" spans="1:26" x14ac:dyDescent="0.3">
      <c r="A55" t="s">
        <v>26</v>
      </c>
      <c r="B55">
        <v>1610107720502</v>
      </c>
      <c r="C55">
        <v>831026767</v>
      </c>
      <c r="D55">
        <v>6</v>
      </c>
      <c r="E55" t="b">
        <v>0</v>
      </c>
      <c r="F55">
        <v>0</v>
      </c>
      <c r="G55" t="s">
        <v>42</v>
      </c>
      <c r="H55">
        <v>589988611</v>
      </c>
      <c r="I55" t="s">
        <v>28</v>
      </c>
      <c r="K55">
        <v>148188687</v>
      </c>
      <c r="L55" t="s">
        <v>41</v>
      </c>
      <c r="N55" t="s">
        <v>30</v>
      </c>
      <c r="O55">
        <v>45643</v>
      </c>
      <c r="P55" t="s">
        <v>31</v>
      </c>
      <c r="Q55" t="b">
        <v>0</v>
      </c>
      <c r="R55" t="s">
        <v>32</v>
      </c>
      <c r="S55" t="s">
        <v>33</v>
      </c>
      <c r="T55" t="s">
        <v>34</v>
      </c>
      <c r="U55" t="s">
        <v>35</v>
      </c>
      <c r="V55" t="s">
        <v>36</v>
      </c>
      <c r="W55" t="s">
        <v>37</v>
      </c>
      <c r="X55" t="s">
        <v>38</v>
      </c>
      <c r="Y55" t="s">
        <v>39</v>
      </c>
      <c r="Z55" t="s">
        <v>40</v>
      </c>
    </row>
    <row r="56" spans="1:26" x14ac:dyDescent="0.3">
      <c r="A56" t="s">
        <v>26</v>
      </c>
      <c r="B56">
        <v>1610107924704</v>
      </c>
      <c r="C56">
        <v>410578884</v>
      </c>
      <c r="D56">
        <v>7</v>
      </c>
      <c r="E56" t="b">
        <v>0</v>
      </c>
      <c r="F56">
        <v>0</v>
      </c>
      <c r="G56" t="s">
        <v>42</v>
      </c>
      <c r="H56">
        <v>291981172</v>
      </c>
      <c r="I56" t="s">
        <v>28</v>
      </c>
      <c r="K56">
        <v>117438499</v>
      </c>
      <c r="L56" t="s">
        <v>41</v>
      </c>
      <c r="N56" t="s">
        <v>30</v>
      </c>
      <c r="O56">
        <v>45643</v>
      </c>
      <c r="P56" t="s">
        <v>31</v>
      </c>
      <c r="Q56" t="b">
        <v>0</v>
      </c>
      <c r="R56" t="s">
        <v>32</v>
      </c>
      <c r="S56" t="s">
        <v>33</v>
      </c>
      <c r="T56" t="s">
        <v>34</v>
      </c>
      <c r="U56" t="s">
        <v>35</v>
      </c>
      <c r="V56" t="s">
        <v>36</v>
      </c>
      <c r="W56" t="s">
        <v>37</v>
      </c>
      <c r="X56" t="s">
        <v>38</v>
      </c>
      <c r="Y56" t="s">
        <v>39</v>
      </c>
      <c r="Z56" t="s">
        <v>40</v>
      </c>
    </row>
    <row r="57" spans="1:26" x14ac:dyDescent="0.3">
      <c r="A57" t="s">
        <v>26</v>
      </c>
      <c r="B57">
        <v>1610108130898</v>
      </c>
      <c r="C57">
        <v>411361909</v>
      </c>
      <c r="D57">
        <v>8</v>
      </c>
      <c r="E57" t="b">
        <v>0</v>
      </c>
      <c r="F57">
        <v>0</v>
      </c>
      <c r="G57" t="s">
        <v>42</v>
      </c>
      <c r="H57">
        <v>293923410</v>
      </c>
      <c r="I57" t="s">
        <v>28</v>
      </c>
      <c r="K57">
        <v>150448043</v>
      </c>
      <c r="L57" t="s">
        <v>41</v>
      </c>
      <c r="N57" t="s">
        <v>30</v>
      </c>
      <c r="O57">
        <v>45643</v>
      </c>
      <c r="P57" t="s">
        <v>31</v>
      </c>
      <c r="Q57" t="b">
        <v>0</v>
      </c>
      <c r="R57" t="s">
        <v>32</v>
      </c>
      <c r="S57" t="s">
        <v>33</v>
      </c>
      <c r="T57" t="s">
        <v>34</v>
      </c>
      <c r="U57" t="s">
        <v>35</v>
      </c>
      <c r="V57" t="s">
        <v>36</v>
      </c>
      <c r="W57" t="s">
        <v>37</v>
      </c>
      <c r="X57" t="s">
        <v>38</v>
      </c>
      <c r="Y57" t="s">
        <v>39</v>
      </c>
      <c r="Z57" t="s">
        <v>40</v>
      </c>
    </row>
    <row r="58" spans="1:26" x14ac:dyDescent="0.3">
      <c r="A58" t="s">
        <v>26</v>
      </c>
      <c r="B58">
        <v>1610108329187</v>
      </c>
      <c r="C58">
        <v>403465165</v>
      </c>
      <c r="D58">
        <v>9</v>
      </c>
      <c r="E58" t="b">
        <v>0</v>
      </c>
      <c r="F58">
        <v>0</v>
      </c>
      <c r="G58" t="s">
        <v>42</v>
      </c>
      <c r="H58">
        <v>316161700</v>
      </c>
      <c r="I58" t="s">
        <v>28</v>
      </c>
      <c r="K58">
        <v>87303465</v>
      </c>
      <c r="L58" t="s">
        <v>41</v>
      </c>
      <c r="N58" t="s">
        <v>30</v>
      </c>
      <c r="O58">
        <v>45643</v>
      </c>
      <c r="P58" t="s">
        <v>31</v>
      </c>
      <c r="Q58" t="b">
        <v>0</v>
      </c>
      <c r="R58" t="s">
        <v>32</v>
      </c>
      <c r="S58" t="s">
        <v>33</v>
      </c>
      <c r="T58" t="s">
        <v>34</v>
      </c>
      <c r="U58" t="s">
        <v>35</v>
      </c>
      <c r="V58" t="s">
        <v>36</v>
      </c>
      <c r="W58" t="s">
        <v>37</v>
      </c>
      <c r="X58" t="s">
        <v>38</v>
      </c>
      <c r="Y58" t="s">
        <v>39</v>
      </c>
      <c r="Z58" t="s">
        <v>40</v>
      </c>
    </row>
    <row r="59" spans="1:26" x14ac:dyDescent="0.3">
      <c r="A59" t="s">
        <v>46</v>
      </c>
      <c r="C59">
        <f>_xlfn.PERCENTILE.INC(C49:C58,0.95)</f>
        <v>677973977.94999957</v>
      </c>
      <c r="H59">
        <f>_xlfn.PERCENTILE.INC(H49:H58,0.95)</f>
        <v>494446472.19999981</v>
      </c>
      <c r="K59">
        <f>_xlfn.PERCENTILE.INC(K49:K58,0.95)</f>
        <v>207233160.5999999</v>
      </c>
    </row>
    <row r="60" spans="1:26" x14ac:dyDescent="0.3">
      <c r="A60" t="s">
        <v>46</v>
      </c>
      <c r="C60">
        <f>C59/1000000000</f>
        <v>0.67797397794999958</v>
      </c>
      <c r="H60">
        <f>H59/1000000000</f>
        <v>0.49444647219999982</v>
      </c>
      <c r="K60">
        <f>K59/1000000000</f>
        <v>0.20723316059999991</v>
      </c>
    </row>
  </sheetData>
  <sortState ref="A36:I55">
    <sortCondition ref="G3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part-00000-cc08c17a-3f48-45bf-a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Eddy Truyen</dc:creator>
  <cp:lastModifiedBy>eddy</cp:lastModifiedBy>
  <dcterms:created xsi:type="dcterms:W3CDTF">2021-01-11T15:48:39Z</dcterms:created>
  <dcterms:modified xsi:type="dcterms:W3CDTF">2021-01-11T15:53:42Z</dcterms:modified>
</cp:coreProperties>
</file>